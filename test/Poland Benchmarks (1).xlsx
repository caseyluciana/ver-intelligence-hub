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<sst xmlns="http://schemas.openxmlformats.org/spreadsheetml/2006/main" count="75" uniqueCount="56">
  <si>
    <t>ITECH Rates</t>
  </si>
  <si>
    <t>AVG Vendor AMER Rates (Onshore)</t>
  </si>
  <si>
    <t>IG AMER Rates (Onshore)</t>
  </si>
  <si>
    <t>Avg Vendor In-Country Rates (Poland)</t>
  </si>
  <si>
    <t>IG In-Country Rates      (Poland)</t>
  </si>
  <si>
    <t>Potential Overpayment (approx)</t>
  </si>
  <si>
    <t>Comments</t>
  </si>
  <si>
    <t>Name</t>
  </si>
  <si>
    <t>Position</t>
  </si>
  <si>
    <t>Per Month</t>
  </si>
  <si>
    <t>Per Hour</t>
  </si>
  <si>
    <t>Per Hour Low</t>
  </si>
  <si>
    <t>Per Hour High</t>
  </si>
  <si>
    <t>Grzegorz Puchawski</t>
  </si>
  <si>
    <t>VP Data Science &amp; ML Engineering</t>
  </si>
  <si>
    <t>NA</t>
  </si>
  <si>
    <t>ITECH is charging the standard US Leadership market rate</t>
  </si>
  <si>
    <t>Cezary Chudzian</t>
  </si>
  <si>
    <t>Principal ML Engineer</t>
  </si>
  <si>
    <t>ITECH is charging the standard US market rate</t>
  </si>
  <si>
    <t>Pawel Chudzian</t>
  </si>
  <si>
    <t>Principal Scientist</t>
  </si>
  <si>
    <t>Michal Draminski</t>
  </si>
  <si>
    <t>Jaroslaw Sobieszek</t>
  </si>
  <si>
    <t>Senior Staff ML Engineer</t>
  </si>
  <si>
    <t>ITECH is charging the top-tier US salary equivalent</t>
  </si>
  <si>
    <t>Pawel Starczewski</t>
  </si>
  <si>
    <t>Tomasz Bawor</t>
  </si>
  <si>
    <t>Senior Staff Data Engineer</t>
  </si>
  <si>
    <t>ITECH is charging a high US rate. We could hire a Sr DE in Austin or Denver Geo's at this rate.</t>
  </si>
  <si>
    <t>Sylwester Dygas</t>
  </si>
  <si>
    <t>Filip Grotkowski</t>
  </si>
  <si>
    <t>Total Per Month</t>
  </si>
  <si>
    <t>The rates provided by ITECH are significantly higher than the standard market rates for Poland-based resources, even when accounting for vendor margins and the AI/ML premium. The rates are closer to AMER rates rather than typical Central and Eastern European offshore/nearshore rates. Even in the best-case scenario (where these are all top tier experts), we would be overpaying by at least $21 to $70 every hour per resource. For direct comparison, a Senior Staff ML Engineer in the US typically earns a base salary of $160k - $225k. Converted to a contract rate (w/ benefits load), that's roughly $100 - $135/hr. ITECH is charging $125/hr for a resource in Poland.</t>
  </si>
  <si>
    <t>* IG - Insight Global, a current onboarded vendor approved to provide Staff Aug and SOW resources.</t>
  </si>
  <si>
    <t>Role (from File)</t>
  </si>
  <si>
    <t>File Rate (Hourly)</t>
  </si>
  <si>
    <t>File Rate (Monthly)</t>
  </si>
  <si>
    <t>Benchmark: Vendor Rate (Poland to US)</t>
  </si>
  <si>
    <t>Benchmark: Direct Talent Cost (Local B2B)</t>
  </si>
  <si>
    <t>VP Data Science</t>
  </si>
  <si>
    <t>$90 - $130</t>
  </si>
  <si>
    <t>$50 - $65 (~$8k - $10k/mo)</t>
  </si>
  <si>
    <t>Principal ML Eng.</t>
  </si>
  <si>
    <t>$70 - $100</t>
  </si>
  <si>
    <t>$40 - $55 (~$6.5k - $9k/mo)</t>
  </si>
  <si>
    <t>Sr. Staff ML Eng.</t>
  </si>
  <si>
    <t>$112 - $125</t>
  </si>
  <si>
    <t>$19.5k - $21.6k</t>
  </si>
  <si>
    <t>$60 - $90</t>
  </si>
  <si>
    <t>$35 - $45 (~$5.5k - $7.5k/mo)</t>
  </si>
  <si>
    <t>Sr. Staff Data Eng.</t>
  </si>
  <si>
    <t>$112 - $119</t>
  </si>
  <si>
    <t>$19.5k - $20.5k</t>
  </si>
  <si>
    <t>$55 - $80</t>
  </si>
  <si>
    <t>$30 - $40 (~$5k - $6.5k/mo)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</si>
</sst>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Helvetica Neue"/>
      <scheme val="minor"/>
    </font>
    <font>
      <sz val="10.0"/>
      <color rgb="FF000000"/>
      <name val="Google Sans Text"/>
    </font>
    <font>
      <b/>
      <sz val="10.0"/>
      <color rgb="FF000000"/>
      <name val="Google Sans Text"/>
    </font>
    <font/>
    <font>
      <b/>
      <sz val="10.0"/>
      <color rgb="FFFF0000"/>
      <name val="Google Sans Text"/>
    </font>
    <font>
      <i/>
      <sz val="10.0"/>
      <color rgb="FF000000"/>
      <name val="Google Sans Text"/>
    </font>
    <font>
      <color rgb="FF1F1F1F"/>
      <name val="&quot;Google Sans Text&quot;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BECD0"/>
        <bgColor rgb="FFDBECD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000000"/>
      </top>
    </border>
    <border>
      <right style="thin">
        <color rgb="FFA5A5A5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1" shrinkToFit="0" vertical="bottom" wrapText="1"/>
    </xf>
    <xf borderId="1" fillId="2" fontId="2" numFmtId="49" xfId="0" applyAlignment="1" applyBorder="1" applyFill="1" applyFont="1" applyNumberFormat="1">
      <alignment horizontal="center" readingOrder="0" shrinkToFit="0" vertical="bottom" wrapText="1"/>
    </xf>
    <xf borderId="2" fillId="0" fontId="3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horizontal="center" readingOrder="0" shrinkToFit="0" vertical="bottom" wrapText="1"/>
    </xf>
    <xf borderId="4" fillId="0" fontId="3" numFmtId="0" xfId="0" applyAlignment="1" applyBorder="1" applyFont="1">
      <alignment shrinkToFit="0" vertical="top" wrapText="1"/>
    </xf>
    <xf borderId="5" fillId="4" fontId="2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readingOrder="0" shrinkToFit="0" vertical="bottom" wrapText="1"/>
    </xf>
    <xf borderId="3" fillId="4" fontId="2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shrinkToFit="0" vertical="top" wrapText="1"/>
    </xf>
    <xf borderId="3" fillId="2" fontId="2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shrinkToFit="0" vertical="top" wrapText="1"/>
    </xf>
    <xf borderId="8" fillId="2" fontId="2" numFmtId="0" xfId="0" applyAlignment="1" applyBorder="1" applyFont="1">
      <alignment horizontal="center" readingOrder="0" shrinkToFit="0" vertical="center" wrapText="1"/>
    </xf>
    <xf borderId="9" fillId="5" fontId="2" numFmtId="49" xfId="0" applyAlignment="1" applyBorder="1" applyFill="1" applyFont="1" applyNumberFormat="1">
      <alignment horizontal="center" readingOrder="1" shrinkToFit="0" vertical="bottom" wrapText="1"/>
    </xf>
    <xf borderId="9" fillId="2" fontId="2" numFmtId="49" xfId="0" applyAlignment="1" applyBorder="1" applyFont="1" applyNumberFormat="1">
      <alignment horizontal="center" readingOrder="1" shrinkToFit="0" vertical="bottom" wrapText="1"/>
    </xf>
    <xf borderId="9" fillId="3" fontId="2" numFmtId="49" xfId="0" applyAlignment="1" applyBorder="1" applyFont="1" applyNumberFormat="1">
      <alignment horizontal="center" readingOrder="0" shrinkToFit="0" vertical="bottom" wrapText="1"/>
    </xf>
    <xf borderId="9" fillId="4" fontId="2" numFmtId="49" xfId="0" applyAlignment="1" applyBorder="1" applyFont="1" applyNumberFormat="1">
      <alignment horizontal="center" readingOrder="0" shrinkToFit="0" vertical="bottom" wrapText="1"/>
    </xf>
    <xf borderId="9" fillId="3" fontId="2" numFmtId="0" xfId="0" applyAlignment="1" applyBorder="1" applyFont="1">
      <alignment horizontal="center" readingOrder="0" shrinkToFit="0" vertical="bottom" wrapText="1"/>
    </xf>
    <xf borderId="9" fillId="2" fontId="2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shrinkToFit="0" vertical="top" wrapText="1"/>
    </xf>
    <xf borderId="9" fillId="6" fontId="1" numFmtId="49" xfId="0" applyAlignment="1" applyBorder="1" applyFill="1" applyFont="1" applyNumberFormat="1">
      <alignment horizontal="left" readingOrder="1" shrinkToFit="0" vertical="bottom" wrapText="1"/>
    </xf>
    <xf borderId="9" fillId="0" fontId="1" numFmtId="49" xfId="0" applyAlignment="1" applyBorder="1" applyFont="1" applyNumberFormat="1">
      <alignment horizontal="left" shrinkToFit="0" vertical="bottom" wrapText="1"/>
    </xf>
    <xf borderId="9" fillId="6" fontId="1" numFmtId="164" xfId="0" applyAlignment="1" applyBorder="1" applyFont="1" applyNumberFormat="1">
      <alignment horizontal="center" readingOrder="1" shrinkToFit="0" vertical="bottom" wrapText="1"/>
    </xf>
    <xf borderId="9" fillId="0" fontId="1" numFmtId="164" xfId="0" applyAlignment="1" applyBorder="1" applyFont="1" applyNumberFormat="1">
      <alignment horizontal="center" readingOrder="0" shrinkToFit="0" vertical="bottom" wrapText="1"/>
    </xf>
    <xf borderId="9" fillId="0" fontId="4" numFmtId="164" xfId="0" applyAlignment="1" applyBorder="1" applyFont="1" applyNumberFormat="1">
      <alignment horizontal="center" readingOrder="0" shrinkToFit="0" vertical="bottom" wrapText="1"/>
    </xf>
    <xf borderId="9" fillId="0" fontId="1" numFmtId="0" xfId="0" applyAlignment="1" applyBorder="1" applyFont="1">
      <alignment horizontal="left" readingOrder="0" shrinkToFit="0" vertical="bottom" wrapText="1"/>
    </xf>
    <xf borderId="8" fillId="6" fontId="1" numFmtId="164" xfId="0" applyAlignment="1" applyBorder="1" applyFont="1" applyNumberFormat="1">
      <alignment horizontal="center" readingOrder="1" shrinkToFit="0" vertical="bottom" wrapText="1"/>
    </xf>
    <xf borderId="8" fillId="0" fontId="1" numFmtId="164" xfId="0" applyAlignment="1" applyBorder="1" applyFont="1" applyNumberFormat="1">
      <alignment horizontal="center" readingOrder="0" shrinkToFit="0" vertical="bottom" wrapText="1"/>
    </xf>
    <xf borderId="8" fillId="0" fontId="4" numFmtId="164" xfId="0" applyAlignment="1" applyBorder="1" applyFont="1" applyNumberFormat="1">
      <alignment horizontal="center" readingOrder="0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9" fillId="0" fontId="2" numFmtId="49" xfId="0" applyAlignment="1" applyBorder="1" applyFont="1" applyNumberFormat="1">
      <alignment horizontal="center" readingOrder="1" shrinkToFit="0" vertical="bottom" wrapText="1"/>
    </xf>
    <xf borderId="1" fillId="0" fontId="2" numFmtId="164" xfId="0" applyAlignment="1" applyBorder="1" applyFont="1" applyNumberFormat="1">
      <alignment horizontal="center" readingOrder="1" shrinkToFit="0" vertical="bottom" wrapText="1"/>
    </xf>
    <xf borderId="1" fillId="0" fontId="2" numFmtId="0" xfId="0" applyAlignment="1" applyBorder="1" applyFont="1">
      <alignment horizontal="center" readingOrder="1" shrinkToFit="0" vertical="bottom" wrapText="1"/>
    </xf>
    <xf borderId="9" fillId="0" fontId="2" numFmtId="164" xfId="0" applyAlignment="1" applyBorder="1" applyFont="1" applyNumberFormat="1">
      <alignment horizontal="center" readingOrder="1" shrinkToFit="0" vertical="bottom" wrapText="1"/>
    </xf>
    <xf borderId="9" fillId="0" fontId="2" numFmtId="0" xfId="0" applyAlignment="1" applyBorder="1" applyFont="1">
      <alignment horizontal="center" readingOrder="1" shrinkToFit="0" vertical="bottom" wrapText="1"/>
    </xf>
    <xf borderId="9" fillId="0" fontId="2" numFmtId="164" xfId="0" applyAlignment="1" applyBorder="1" applyFont="1" applyNumberFormat="1">
      <alignment horizontal="center" shrinkToFit="0" vertical="bottom" wrapText="1"/>
    </xf>
    <xf borderId="9" fillId="0" fontId="4" numFmtId="164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32.29"/>
    <col customWidth="1" min="3" max="3" width="12.71"/>
    <col customWidth="1" min="4" max="4" width="11.0"/>
    <col customWidth="1" min="5" max="5" width="13.43"/>
    <col customWidth="1" min="6" max="6" width="15.29"/>
    <col customWidth="1" min="7" max="7" width="17.0"/>
    <col customWidth="1" min="8" max="9" width="14.29"/>
    <col customWidth="1" min="10" max="10" width="14.0"/>
    <col customWidth="1" min="11" max="11" width="14.86"/>
    <col customWidth="1" min="12" max="12" width="14.71"/>
    <col customWidth="1" min="13" max="13" width="15.29"/>
    <col customWidth="1" min="14" max="14" width="54.14"/>
    <col customWidth="1" min="15" max="20" width="16.29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1">
      <c r="A2" s="1"/>
      <c r="B2" s="2"/>
      <c r="C2" s="3" t="s">
        <v>0</v>
      </c>
      <c r="D2" s="4"/>
      <c r="E2" s="5" t="s">
        <v>1</v>
      </c>
      <c r="F2" s="6"/>
      <c r="G2" s="7" t="s">
        <v>2</v>
      </c>
      <c r="H2" s="8" t="s">
        <v>3</v>
      </c>
      <c r="I2" s="4"/>
      <c r="J2" s="9" t="s">
        <v>4</v>
      </c>
      <c r="K2" s="10"/>
      <c r="L2" s="11" t="s">
        <v>5</v>
      </c>
      <c r="M2" s="12"/>
      <c r="N2" s="13" t="s">
        <v>6</v>
      </c>
      <c r="O2" s="1"/>
      <c r="P2" s="1"/>
      <c r="Q2" s="1"/>
      <c r="R2" s="1"/>
      <c r="S2" s="1"/>
      <c r="T2" s="1"/>
    </row>
    <row r="3" ht="24.0" customHeight="1">
      <c r="A3" s="14" t="s">
        <v>7</v>
      </c>
      <c r="B3" s="14" t="s">
        <v>8</v>
      </c>
      <c r="C3" s="15" t="s">
        <v>9</v>
      </c>
      <c r="D3" s="15" t="s">
        <v>10</v>
      </c>
      <c r="E3" s="16" t="s">
        <v>11</v>
      </c>
      <c r="F3" s="16" t="s">
        <v>12</v>
      </c>
      <c r="G3" s="17"/>
      <c r="H3" s="18" t="s">
        <v>11</v>
      </c>
      <c r="I3" s="18" t="s">
        <v>12</v>
      </c>
      <c r="J3" s="17" t="s">
        <v>11</v>
      </c>
      <c r="K3" s="17" t="s">
        <v>12</v>
      </c>
      <c r="L3" s="19" t="s">
        <v>11</v>
      </c>
      <c r="M3" s="19" t="s">
        <v>12</v>
      </c>
      <c r="N3" s="20"/>
      <c r="O3" s="1"/>
      <c r="P3" s="1"/>
      <c r="Q3" s="1"/>
      <c r="R3" s="1"/>
      <c r="S3" s="1"/>
      <c r="T3" s="1"/>
    </row>
    <row r="4" ht="24.0" customHeight="1">
      <c r="A4" s="21" t="s">
        <v>13</v>
      </c>
      <c r="B4" s="22" t="s">
        <v>14</v>
      </c>
      <c r="C4" s="23">
        <v>34637.0</v>
      </c>
      <c r="D4" s="23">
        <v>200.0</v>
      </c>
      <c r="E4" s="24">
        <v>150.0</v>
      </c>
      <c r="F4" s="24">
        <v>250.0</v>
      </c>
      <c r="G4" s="24"/>
      <c r="H4" s="24">
        <v>90.0</v>
      </c>
      <c r="I4" s="24">
        <v>130.0</v>
      </c>
      <c r="J4" s="24" t="s">
        <v>15</v>
      </c>
      <c r="K4" s="24" t="s">
        <v>15</v>
      </c>
      <c r="L4" s="25">
        <v>70.0</v>
      </c>
      <c r="M4" s="25">
        <v>110.0</v>
      </c>
      <c r="N4" s="26" t="s">
        <v>16</v>
      </c>
      <c r="O4" s="1"/>
      <c r="P4" s="1"/>
      <c r="Q4" s="1"/>
      <c r="R4" s="1"/>
      <c r="S4" s="1"/>
      <c r="T4" s="1"/>
    </row>
    <row r="5" ht="24.0" customHeight="1">
      <c r="A5" s="21" t="s">
        <v>17</v>
      </c>
      <c r="B5" s="22" t="s">
        <v>18</v>
      </c>
      <c r="C5" s="23">
        <v>24896.0</v>
      </c>
      <c r="D5" s="23">
        <v>144.0</v>
      </c>
      <c r="E5" s="24">
        <v>100.0</v>
      </c>
      <c r="F5" s="24">
        <v>180.0</v>
      </c>
      <c r="G5" s="24"/>
      <c r="H5" s="24">
        <v>70.0</v>
      </c>
      <c r="I5" s="24">
        <v>100.0</v>
      </c>
      <c r="J5" s="24">
        <v>87.0</v>
      </c>
      <c r="K5" s="24">
        <v>101.5</v>
      </c>
      <c r="L5" s="25">
        <v>42.0</v>
      </c>
      <c r="M5" s="25">
        <v>74.0</v>
      </c>
      <c r="N5" s="26" t="s">
        <v>19</v>
      </c>
      <c r="O5" s="1"/>
      <c r="P5" s="1"/>
      <c r="Q5" s="1"/>
      <c r="R5" s="1"/>
      <c r="S5" s="1"/>
      <c r="T5" s="1"/>
    </row>
    <row r="6" ht="24.0" customHeight="1">
      <c r="A6" s="21" t="s">
        <v>20</v>
      </c>
      <c r="B6" s="22" t="s">
        <v>21</v>
      </c>
      <c r="C6" s="23">
        <v>23813.0</v>
      </c>
      <c r="D6" s="23">
        <v>137.0</v>
      </c>
      <c r="E6" s="24">
        <v>100.0</v>
      </c>
      <c r="F6" s="24">
        <v>170.0</v>
      </c>
      <c r="G6" s="24"/>
      <c r="H6" s="24">
        <v>70.0</v>
      </c>
      <c r="I6" s="24">
        <v>100.0</v>
      </c>
      <c r="J6" s="24">
        <v>99.0</v>
      </c>
      <c r="K6" s="24">
        <v>115.5</v>
      </c>
      <c r="L6" s="25">
        <v>21.0</v>
      </c>
      <c r="M6" s="25">
        <v>67.0</v>
      </c>
      <c r="N6" s="26" t="s">
        <v>19</v>
      </c>
      <c r="O6" s="1"/>
      <c r="P6" s="1"/>
      <c r="Q6" s="1"/>
      <c r="R6" s="1"/>
      <c r="S6" s="1"/>
      <c r="T6" s="1"/>
    </row>
    <row r="7" ht="24.0" customHeight="1">
      <c r="A7" s="21" t="s">
        <v>22</v>
      </c>
      <c r="B7" s="22" t="s">
        <v>21</v>
      </c>
      <c r="C7" s="23">
        <v>23813.0</v>
      </c>
      <c r="D7" s="23">
        <v>137.0</v>
      </c>
      <c r="E7" s="24">
        <v>100.0</v>
      </c>
      <c r="F7" s="24">
        <v>170.0</v>
      </c>
      <c r="G7" s="24"/>
      <c r="H7" s="24">
        <v>70.0</v>
      </c>
      <c r="I7" s="24">
        <v>100.0</v>
      </c>
      <c r="J7" s="24">
        <v>99.0</v>
      </c>
      <c r="K7" s="24">
        <v>115.5</v>
      </c>
      <c r="L7" s="25">
        <v>21.0</v>
      </c>
      <c r="M7" s="25">
        <v>67.0</v>
      </c>
      <c r="N7" s="26" t="s">
        <v>19</v>
      </c>
      <c r="O7" s="1"/>
      <c r="P7" s="1"/>
      <c r="Q7" s="1"/>
      <c r="R7" s="1"/>
      <c r="S7" s="1"/>
      <c r="T7" s="1"/>
    </row>
    <row r="8" ht="24.0" customHeight="1">
      <c r="A8" s="21" t="s">
        <v>23</v>
      </c>
      <c r="B8" s="22" t="s">
        <v>24</v>
      </c>
      <c r="C8" s="23">
        <v>21648.0</v>
      </c>
      <c r="D8" s="23">
        <v>125.0</v>
      </c>
      <c r="E8" s="24">
        <v>90.0</v>
      </c>
      <c r="F8" s="24">
        <v>140.0</v>
      </c>
      <c r="G8" s="24"/>
      <c r="H8" s="24">
        <v>60.0</v>
      </c>
      <c r="I8" s="24">
        <v>90.0</v>
      </c>
      <c r="J8" s="24">
        <v>72.0</v>
      </c>
      <c r="K8" s="24">
        <v>84.0</v>
      </c>
      <c r="L8" s="25">
        <v>35.0</v>
      </c>
      <c r="M8" s="25">
        <v>65.0</v>
      </c>
      <c r="N8" s="26" t="s">
        <v>25</v>
      </c>
      <c r="O8" s="1"/>
      <c r="P8" s="1"/>
      <c r="Q8" s="1"/>
      <c r="R8" s="1"/>
      <c r="S8" s="1"/>
      <c r="T8" s="1"/>
    </row>
    <row r="9" ht="24.0" customHeight="1">
      <c r="A9" s="21" t="s">
        <v>26</v>
      </c>
      <c r="B9" s="22" t="s">
        <v>24</v>
      </c>
      <c r="C9" s="23">
        <v>20566.0</v>
      </c>
      <c r="D9" s="23">
        <v>119.0</v>
      </c>
      <c r="E9" s="24">
        <v>90.0</v>
      </c>
      <c r="F9" s="24">
        <v>140.0</v>
      </c>
      <c r="G9" s="24"/>
      <c r="H9" s="24">
        <v>60.0</v>
      </c>
      <c r="I9" s="24">
        <v>90.0</v>
      </c>
      <c r="J9" s="24">
        <v>72.0</v>
      </c>
      <c r="K9" s="24">
        <v>84.0</v>
      </c>
      <c r="L9" s="25">
        <v>29.0</v>
      </c>
      <c r="M9" s="25">
        <v>59.0</v>
      </c>
      <c r="N9" s="26" t="s">
        <v>25</v>
      </c>
      <c r="O9" s="1"/>
      <c r="P9" s="1"/>
      <c r="Q9" s="1"/>
      <c r="R9" s="1"/>
      <c r="S9" s="1"/>
      <c r="T9" s="1"/>
    </row>
    <row r="10" ht="31.5" customHeight="1">
      <c r="A10" s="21" t="s">
        <v>27</v>
      </c>
      <c r="B10" s="22" t="s">
        <v>28</v>
      </c>
      <c r="C10" s="23">
        <v>20566.0</v>
      </c>
      <c r="D10" s="23">
        <v>119.0</v>
      </c>
      <c r="E10" s="24">
        <v>85.0</v>
      </c>
      <c r="F10" s="24">
        <v>130.0</v>
      </c>
      <c r="G10" s="24">
        <v>121.0</v>
      </c>
      <c r="H10" s="24">
        <v>55.0</v>
      </c>
      <c r="I10" s="24">
        <v>80.0</v>
      </c>
      <c r="J10" s="24">
        <v>75.0</v>
      </c>
      <c r="K10" s="24">
        <v>87.5</v>
      </c>
      <c r="L10" s="25">
        <v>31.0</v>
      </c>
      <c r="M10" s="25">
        <v>64.0</v>
      </c>
      <c r="N10" s="26" t="s">
        <v>29</v>
      </c>
      <c r="O10" s="1"/>
      <c r="P10" s="1"/>
      <c r="Q10" s="1"/>
      <c r="R10" s="1"/>
      <c r="S10" s="1"/>
      <c r="T10" s="1"/>
    </row>
    <row r="11" ht="29.25" customHeight="1">
      <c r="A11" s="21" t="s">
        <v>30</v>
      </c>
      <c r="B11" s="22" t="s">
        <v>28</v>
      </c>
      <c r="C11" s="23">
        <v>19483.0</v>
      </c>
      <c r="D11" s="23">
        <v>112.0</v>
      </c>
      <c r="E11" s="24">
        <v>85.0</v>
      </c>
      <c r="F11" s="24">
        <v>130.0</v>
      </c>
      <c r="G11" s="24">
        <v>110.0</v>
      </c>
      <c r="H11" s="24">
        <v>55.0</v>
      </c>
      <c r="I11" s="24">
        <v>80.0</v>
      </c>
      <c r="J11" s="24">
        <v>75.0</v>
      </c>
      <c r="K11" s="24">
        <v>87.5</v>
      </c>
      <c r="L11" s="25">
        <v>24.0</v>
      </c>
      <c r="M11" s="25">
        <v>57.0</v>
      </c>
      <c r="N11" s="26" t="s">
        <v>29</v>
      </c>
      <c r="O11" s="1"/>
      <c r="P11" s="1"/>
      <c r="Q11" s="1"/>
      <c r="R11" s="1"/>
      <c r="S11" s="1"/>
      <c r="T11" s="1"/>
    </row>
    <row r="12" ht="24.0" customHeight="1">
      <c r="A12" s="21" t="s">
        <v>31</v>
      </c>
      <c r="B12" s="22" t="s">
        <v>24</v>
      </c>
      <c r="C12" s="23">
        <v>19483.0</v>
      </c>
      <c r="D12" s="27">
        <v>112.0</v>
      </c>
      <c r="E12" s="28">
        <v>90.0</v>
      </c>
      <c r="F12" s="28">
        <v>140.0</v>
      </c>
      <c r="G12" s="28"/>
      <c r="H12" s="28">
        <v>60.0</v>
      </c>
      <c r="I12" s="28">
        <v>90.0</v>
      </c>
      <c r="J12" s="28">
        <v>72.0</v>
      </c>
      <c r="K12" s="28">
        <v>84.0</v>
      </c>
      <c r="L12" s="29">
        <v>22.0</v>
      </c>
      <c r="M12" s="29">
        <v>52.0</v>
      </c>
      <c r="N12" s="26" t="s">
        <v>25</v>
      </c>
      <c r="O12" s="1"/>
      <c r="P12" s="1"/>
      <c r="Q12" s="1"/>
      <c r="R12" s="1"/>
      <c r="S12" s="1"/>
      <c r="T12" s="1"/>
    </row>
    <row r="13" ht="24.0" customHeight="1">
      <c r="A13" s="30"/>
      <c r="B13" s="31" t="s">
        <v>32</v>
      </c>
      <c r="C13" s="32">
        <v>208903.0</v>
      </c>
      <c r="D13" s="33"/>
      <c r="E13" s="34">
        <f t="shared" ref="E13:F13" si="1">sum(E4:E12)*173.184</f>
        <v>154133.76</v>
      </c>
      <c r="F13" s="34">
        <f t="shared" si="1"/>
        <v>251116.8</v>
      </c>
      <c r="G13" s="35"/>
      <c r="H13" s="36">
        <f t="shared" ref="H13:M13" si="2">sum(H4:H12)*173.184</f>
        <v>102178.56</v>
      </c>
      <c r="I13" s="36">
        <f t="shared" si="2"/>
        <v>148938.24</v>
      </c>
      <c r="J13" s="34">
        <f t="shared" si="2"/>
        <v>112742.784</v>
      </c>
      <c r="K13" s="34">
        <f t="shared" si="2"/>
        <v>131533.248</v>
      </c>
      <c r="L13" s="37">
        <f t="shared" si="2"/>
        <v>51089.28</v>
      </c>
      <c r="M13" s="37">
        <f t="shared" si="2"/>
        <v>106508.16</v>
      </c>
      <c r="N13" s="1"/>
      <c r="O13" s="1"/>
      <c r="P13" s="1"/>
      <c r="Q13" s="1"/>
      <c r="R13" s="1"/>
      <c r="S13" s="1"/>
      <c r="T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24.0" customHeight="1">
      <c r="A15" s="38" t="s">
        <v>33</v>
      </c>
      <c r="N15" s="1"/>
      <c r="O15" s="1"/>
      <c r="P15" s="1"/>
      <c r="Q15" s="1"/>
      <c r="R15" s="1"/>
      <c r="S15" s="1"/>
      <c r="T15" s="1"/>
    </row>
    <row r="16" ht="24.0" customHeight="1">
      <c r="A16" s="39" t="s">
        <v>34</v>
      </c>
      <c r="L16" s="1"/>
      <c r="M16" s="1"/>
      <c r="N16" s="1"/>
      <c r="O16" s="1"/>
      <c r="P16" s="1"/>
      <c r="Q16" s="1"/>
      <c r="R16" s="1"/>
      <c r="S16" s="1"/>
      <c r="T16" s="1"/>
    </row>
    <row r="17" ht="24.0" customHeight="1">
      <c r="A17" s="1"/>
      <c r="L17" s="1"/>
      <c r="M17" s="1"/>
      <c r="N17" s="1"/>
      <c r="O17" s="1"/>
      <c r="P17" s="1"/>
      <c r="Q17" s="1"/>
      <c r="R17" s="1"/>
      <c r="S17" s="1"/>
      <c r="T17" s="1"/>
    </row>
    <row r="18" ht="19.5" customHeight="1">
      <c r="A18" s="1"/>
      <c r="L18" s="1"/>
      <c r="M18" s="1"/>
      <c r="N18" s="1"/>
      <c r="O18" s="1"/>
      <c r="P18" s="1"/>
      <c r="Q18" s="1"/>
      <c r="R18" s="1"/>
      <c r="S18" s="1"/>
      <c r="T18" s="1"/>
    </row>
    <row r="19" ht="19.5" customHeight="1">
      <c r="A19" s="1"/>
      <c r="L19" s="1"/>
      <c r="M19" s="1"/>
      <c r="N19" s="1"/>
      <c r="O19" s="1"/>
      <c r="P19" s="1"/>
      <c r="Q19" s="1"/>
      <c r="R19" s="1"/>
      <c r="S19" s="1"/>
      <c r="T19" s="1"/>
    </row>
    <row r="20" ht="19.5" customHeight="1">
      <c r="A20" s="1"/>
      <c r="L20" s="1"/>
      <c r="M20" s="1"/>
      <c r="N20" s="1"/>
      <c r="O20" s="1"/>
      <c r="P20" s="1"/>
      <c r="Q20" s="1"/>
      <c r="R20" s="1"/>
      <c r="S20" s="1"/>
      <c r="T20" s="1"/>
    </row>
    <row r="21" ht="19.5" customHeight="1">
      <c r="A21" s="1"/>
      <c r="L21" s="1"/>
      <c r="M21" s="1"/>
      <c r="N21" s="1"/>
      <c r="O21" s="1"/>
      <c r="P21" s="1"/>
      <c r="Q21" s="1"/>
      <c r="R21" s="1"/>
      <c r="S21" s="1"/>
      <c r="T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</sheetData>
  <mergeCells count="13">
    <mergeCell ref="A16:K16"/>
    <mergeCell ref="A17:K17"/>
    <mergeCell ref="A18:K18"/>
    <mergeCell ref="A19:K19"/>
    <mergeCell ref="A20:K20"/>
    <mergeCell ref="A21:K21"/>
    <mergeCell ref="C2:D2"/>
    <mergeCell ref="E2:F2"/>
    <mergeCell ref="H2:I2"/>
    <mergeCell ref="J2:K2"/>
    <mergeCell ref="L2:M2"/>
    <mergeCell ref="N2:N3"/>
    <mergeCell ref="A15:M15"/>
  </mergeCells>
  <printOptions/>
  <pageMargins bottom="0.75" footer="0.0" header="0.0" left="0.7" right="0.7" top="0.75"/>
  <pageSetup scale="72"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35</v>
      </c>
      <c r="B1" s="40" t="s">
        <v>36</v>
      </c>
      <c r="C1" s="40" t="s">
        <v>37</v>
      </c>
      <c r="D1" s="40" t="s">
        <v>38</v>
      </c>
      <c r="E1" s="40" t="s">
        <v>39</v>
      </c>
    </row>
    <row r="2">
      <c r="A2" s="41" t="s">
        <v>40</v>
      </c>
      <c r="B2" s="42">
        <v>200.0</v>
      </c>
      <c r="C2" s="42">
        <v>34637.0</v>
      </c>
      <c r="D2" s="41" t="s">
        <v>41</v>
      </c>
      <c r="E2" s="41" t="s">
        <v>42</v>
      </c>
    </row>
    <row r="3">
      <c r="A3" s="41" t="s">
        <v>43</v>
      </c>
      <c r="B3" s="42">
        <v>144.0</v>
      </c>
      <c r="C3" s="42">
        <v>24896.0</v>
      </c>
      <c r="D3" s="41" t="s">
        <v>44</v>
      </c>
      <c r="E3" s="41" t="s">
        <v>45</v>
      </c>
    </row>
    <row r="4">
      <c r="A4" s="41" t="s">
        <v>21</v>
      </c>
      <c r="B4" s="42">
        <v>137.0</v>
      </c>
      <c r="C4" s="42">
        <v>23813.0</v>
      </c>
      <c r="D4" s="41" t="s">
        <v>44</v>
      </c>
      <c r="E4" s="41" t="s">
        <v>45</v>
      </c>
    </row>
    <row r="5">
      <c r="A5" s="41" t="s">
        <v>46</v>
      </c>
      <c r="B5" s="41" t="s">
        <v>47</v>
      </c>
      <c r="C5" s="41" t="s">
        <v>48</v>
      </c>
      <c r="D5" s="41" t="s">
        <v>49</v>
      </c>
      <c r="E5" s="41" t="s">
        <v>50</v>
      </c>
    </row>
    <row r="6">
      <c r="A6" s="41" t="s">
        <v>51</v>
      </c>
      <c r="B6" s="41" t="s">
        <v>52</v>
      </c>
      <c r="C6" s="41" t="s">
        <v>53</v>
      </c>
      <c r="D6" s="41" t="s">
        <v>54</v>
      </c>
      <c r="E6" s="41" t="s">
        <v>55</v>
      </c>
    </row>
  </sheetData>
  <drawing r:id="rId1"/>
</worksheet>
</file>